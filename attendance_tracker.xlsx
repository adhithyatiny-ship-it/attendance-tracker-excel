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Bindu K Menon\Desktop\projects\"/>
    </mc:Choice>
  </mc:AlternateContent>
  <xr:revisionPtr revIDLastSave="0" documentId="8_{4C2DCFDF-F6B0-4250-8016-7B5B62E99C1B}" xr6:coauthVersionLast="47" xr6:coauthVersionMax="47" xr10:uidLastSave="{00000000-0000-0000-0000-000000000000}"/>
  <bookViews>
    <workbookView xWindow="-110" yWindow="-110" windowWidth="19420" windowHeight="10300" activeTab="1" xr2:uid="{6DFA0607-0509-4D62-97A4-68A5FF3DFF12}"/>
  </bookViews>
  <sheets>
    <sheet name="Sheet4" sheetId="4" r:id="rId1"/>
    <sheet name="Sheet1" sheetId="1" r:id="rId2"/>
  </sheets>
  <definedNames>
    <definedName name="Slicer_Clean_depatment">#N/A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 i="1" l="1"/>
  <c r="I3" i="1"/>
  <c r="L4" i="1" s="1"/>
  <c r="I4" i="1"/>
  <c r="I5" i="1"/>
  <c r="I6" i="1"/>
  <c r="I7" i="1"/>
  <c r="I8" i="1"/>
  <c r="I9" i="1"/>
  <c r="I10" i="1"/>
  <c r="L3" i="1"/>
  <c r="H10" i="1"/>
  <c r="H3" i="1"/>
  <c r="H4" i="1"/>
  <c r="H5" i="1"/>
  <c r="H6" i="1"/>
  <c r="H7" i="1"/>
  <c r="H8" i="1"/>
  <c r="H9" i="1"/>
  <c r="H2" i="1"/>
  <c r="G3" i="1"/>
  <c r="G4" i="1"/>
  <c r="G5" i="1"/>
  <c r="G6" i="1"/>
  <c r="G7" i="1"/>
  <c r="G8" i="1"/>
  <c r="G9" i="1"/>
  <c r="G10" i="1"/>
  <c r="G2" i="1"/>
  <c r="F3" i="1"/>
  <c r="F4" i="1"/>
  <c r="F5" i="1"/>
  <c r="F6" i="1"/>
  <c r="F7" i="1"/>
  <c r="F8" i="1"/>
  <c r="F9" i="1"/>
  <c r="F10" i="1"/>
  <c r="F2" i="1"/>
  <c r="L2" i="1" l="1"/>
</calcChain>
</file>

<file path=xl/sharedStrings.xml><?xml version="1.0" encoding="utf-8"?>
<sst xmlns="http://schemas.openxmlformats.org/spreadsheetml/2006/main" count="50" uniqueCount="43">
  <si>
    <t>Date</t>
  </si>
  <si>
    <t>Name</t>
  </si>
  <si>
    <t>Department</t>
  </si>
  <si>
    <t>Status</t>
  </si>
  <si>
    <t>Adhi</t>
  </si>
  <si>
    <t>data science</t>
  </si>
  <si>
    <t>present</t>
  </si>
  <si>
    <t>hari</t>
  </si>
  <si>
    <t>absent</t>
  </si>
  <si>
    <t>karthika</t>
  </si>
  <si>
    <t>cyber security</t>
  </si>
  <si>
    <t>bharat</t>
  </si>
  <si>
    <t>cse</t>
  </si>
  <si>
    <t>dilna</t>
  </si>
  <si>
    <t>krishna</t>
  </si>
  <si>
    <t>ADHI</t>
  </si>
  <si>
    <t>ABHI</t>
  </si>
  <si>
    <t>pArthiV</t>
  </si>
  <si>
    <t>imnA</t>
  </si>
  <si>
    <t>cYber seCuRity</t>
  </si>
  <si>
    <t>PREseNT</t>
  </si>
  <si>
    <t>ABSEnt</t>
  </si>
  <si>
    <t>prEsent</t>
  </si>
  <si>
    <t>AbSeNt</t>
  </si>
  <si>
    <t>Clean_Name</t>
  </si>
  <si>
    <t>Clean_depatment</t>
  </si>
  <si>
    <t>Clean_status</t>
  </si>
  <si>
    <t>DATa sciENCE</t>
  </si>
  <si>
    <t>Present_flag</t>
  </si>
  <si>
    <t>Total no: of students present :</t>
  </si>
  <si>
    <t>Total no: of students  :</t>
  </si>
  <si>
    <t>Attendence % :</t>
  </si>
  <si>
    <t>Row Labels</t>
  </si>
  <si>
    <t>Abhi</t>
  </si>
  <si>
    <t>Bharat</t>
  </si>
  <si>
    <t>Dilna</t>
  </si>
  <si>
    <t>Hari</t>
  </si>
  <si>
    <t>Imna</t>
  </si>
  <si>
    <t>Karthika</t>
  </si>
  <si>
    <t>Krishna</t>
  </si>
  <si>
    <t>Parthiv</t>
  </si>
  <si>
    <t>Grand Total</t>
  </si>
  <si>
    <t>Sum of Present_flag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</si>
</sst>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14"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1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project-1.xlsx]Sheet4!PivotTable3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Sheet4!$A$4:$A$13</c:f>
              <c:strCache>
                <c:ptCount val="9"/>
                <c:pt idx="0">
                  <c:v>Abhi</c:v>
                </c:pt>
                <c:pt idx="1">
                  <c:v>Adhi</c:v>
                </c:pt>
                <c:pt idx="2">
                  <c:v>Bharat</c:v>
                </c:pt>
                <c:pt idx="3">
                  <c:v>Dilna</c:v>
                </c:pt>
                <c:pt idx="4">
                  <c:v>Hari</c:v>
                </c:pt>
                <c:pt idx="5">
                  <c:v>Imna</c:v>
                </c:pt>
                <c:pt idx="6">
                  <c:v>Karthika</c:v>
                </c:pt>
                <c:pt idx="7">
                  <c:v>Krishna</c:v>
                </c:pt>
                <c:pt idx="8">
                  <c:v>Parthiv</c:v>
                </c:pt>
              </c:strCache>
            </c:strRef>
          </c:cat>
          <c:val>
            <c:numRef>
              <c:f>Sheet4!$B$4:$B$13</c:f>
              <c:numCache>
                <c:formatCode>General</c:formatCode>
                <c:ptCount val="9"/>
                <c:pt idx="0">
                  <c:v>0</c:v>
                </c:pt>
                <c:pt idx="1">
                  <c:v>1</c:v>
                </c:pt>
                <c:pt idx="2">
                  <c:v>1</c:v>
                </c:pt>
                <c:pt idx="3">
                  <c:v>1</c:v>
                </c:pt>
                <c:pt idx="4">
                  <c:v>1</c:v>
                </c:pt>
                <c:pt idx="5">
                  <c:v>0</c:v>
                </c:pt>
                <c:pt idx="6">
                  <c:v>1</c:v>
                </c:pt>
                <c:pt idx="7">
                  <c:v>0</c:v>
                </c:pt>
                <c:pt idx="8">
                  <c:v>0</c:v>
                </c:pt>
              </c:numCache>
            </c:numRef>
          </c:val>
          <c:extLst>
            <c:ext xmlns:c16="http://schemas.microsoft.com/office/drawing/2014/chart" uri="{C3380CC4-5D6E-409C-BE32-E72D297353CC}">
              <c16:uniqueId val="{00000000-110D-4F8A-997B-3FAAA1EAB6F2}"/>
            </c:ext>
          </c:extLst>
        </c:ser>
        <c:dLbls>
          <c:showLegendKey val="0"/>
          <c:showVal val="0"/>
          <c:showCatName val="0"/>
          <c:showSerName val="0"/>
          <c:showPercent val="0"/>
          <c:showBubbleSize val="0"/>
        </c:dLbls>
        <c:gapWidth val="219"/>
        <c:overlap val="-27"/>
        <c:axId val="1047108447"/>
        <c:axId val="1047109407"/>
      </c:barChart>
      <c:catAx>
        <c:axId val="104710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109407"/>
        <c:crosses val="autoZero"/>
        <c:auto val="1"/>
        <c:lblAlgn val="ctr"/>
        <c:lblOffset val="100"/>
        <c:noMultiLvlLbl val="0"/>
      </c:catAx>
      <c:valAx>
        <c:axId val="1047109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10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273050</xdr:colOff>
      <xdr:row>1</xdr:row>
      <xdr:rowOff>139700</xdr:rowOff>
    </xdr:from>
    <xdr:to>
      <xdr:col>8</xdr:col>
      <xdr:colOff>584200</xdr:colOff>
      <xdr:row>16</xdr:row>
      <xdr:rowOff>120650</xdr:rowOff>
    </xdr:to>
    <xdr:graphicFrame macro="">
      <xdr:nvGraphicFramePr>
        <xdr:cNvPr id="2" name="Chart 1">
          <a:extLst>
            <a:ext uri="{FF2B5EF4-FFF2-40B4-BE49-F238E27FC236}">
              <a16:creationId xmlns:a16="http://schemas.microsoft.com/office/drawing/2014/main" id="{BE4D2D85-1F06-2CA5-55CC-3CBDD5757F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336550</xdr:colOff>
      <xdr:row>2</xdr:row>
      <xdr:rowOff>50800</xdr:rowOff>
    </xdr:from>
    <xdr:to>
      <xdr:col>12</xdr:col>
      <xdr:colOff>336550</xdr:colOff>
      <xdr:row>15</xdr:row>
      <xdr:rowOff>180975</xdr:rowOff>
    </xdr:to>
    <mc:AlternateContent xmlns:mc="http://schemas.openxmlformats.org/markup-compatibility/2006" xmlns:a14="http://schemas.microsoft.com/office/drawing/2010/main">
      <mc:Choice Requires="a14">
        <xdr:graphicFrame macro="">
          <xdr:nvGraphicFramePr>
            <xdr:cNvPr id="3" name="Clean_depatment">
              <a:extLst>
                <a:ext uri="{FF2B5EF4-FFF2-40B4-BE49-F238E27FC236}">
                  <a16:creationId xmlns:a16="http://schemas.microsoft.com/office/drawing/2014/main" id="{FCEC02C6-D0C4-2F5C-890F-916D625B86A9}"/>
                </a:ext>
              </a:extLst>
            </xdr:cNvPr>
            <xdr:cNvGraphicFramePr/>
          </xdr:nvGraphicFramePr>
          <xdr:xfrm>
            <a:off x="0" y="0"/>
            <a:ext cx="0" cy="0"/>
          </xdr:xfrm>
          <a:graphic>
            <a:graphicData uri="http://schemas.microsoft.com/office/drawing/2010/slicer">
              <sle:slicer xmlns:sle="http://schemas.microsoft.com/office/drawing/2010/slicer" name="Clean_depatment"/>
            </a:graphicData>
          </a:graphic>
        </xdr:graphicFrame>
      </mc:Choice>
      <mc:Fallback xmlns="">
        <xdr:sp macro="" textlink="">
          <xdr:nvSpPr>
            <xdr:cNvPr id="0" name=""/>
            <xdr:cNvSpPr>
              <a:spLocks noTextEdit="1"/>
            </xdr:cNvSpPr>
          </xdr:nvSpPr>
          <xdr:spPr>
            <a:xfrm>
              <a:off x="7308850" y="419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ndu K Menon" refreshedDate="46033.697166782411" createdVersion="8" refreshedVersion="8" minRefreshableVersion="3" recordCount="9" xr:uid="{43A5C9AE-2231-4916-AF19-6EEF9A3B1C9A}">
  <cacheSource type="worksheet">
    <worksheetSource ref="F1:I10" sheet="Sheet1"/>
  </cacheSource>
  <cacheFields count="4">
    <cacheField name="Clean_Name" numFmtId="0">
      <sharedItems count="9">
        <s v="Adhi"/>
        <s v="Hari"/>
        <s v="Abhi"/>
        <s v="Karthika"/>
        <s v="Parthiv"/>
        <s v="Imna"/>
        <s v="Bharat"/>
        <s v="Dilna"/>
        <s v="Krishna"/>
      </sharedItems>
    </cacheField>
    <cacheField name="Clean_depatment" numFmtId="0">
      <sharedItems count="3">
        <s v="Data Science"/>
        <s v="Cyber Security"/>
        <s v="Cse"/>
      </sharedItems>
    </cacheField>
    <cacheField name="Clean_status" numFmtId="0">
      <sharedItems/>
    </cacheField>
    <cacheField name="Present_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7891074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x v="0"/>
    <s v="Present"/>
    <n v="1"/>
  </r>
  <r>
    <x v="1"/>
    <x v="0"/>
    <s v="Present"/>
    <n v="1"/>
  </r>
  <r>
    <x v="2"/>
    <x v="0"/>
    <s v="Absent"/>
    <n v="0"/>
  </r>
  <r>
    <x v="3"/>
    <x v="1"/>
    <s v="Present"/>
    <n v="1"/>
  </r>
  <r>
    <x v="4"/>
    <x v="1"/>
    <s v="Absent"/>
    <n v="0"/>
  </r>
  <r>
    <x v="5"/>
    <x v="1"/>
    <s v="Absent"/>
    <n v="0"/>
  </r>
  <r>
    <x v="6"/>
    <x v="2"/>
    <s v="Present"/>
    <n v="1"/>
  </r>
  <r>
    <x v="7"/>
    <x v="2"/>
    <s v="Present"/>
    <n v="1"/>
  </r>
  <r>
    <x v="8"/>
    <x v="2"/>
    <s v="Absent"/>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117BB3-3EDA-41EC-8A97-F9C3FFD1610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3" firstHeaderRow="1" firstDataRow="1" firstDataCol="1"/>
  <pivotFields count="4">
    <pivotField axis="axisRow" showAll="0">
      <items count="10">
        <item x="2"/>
        <item x="0"/>
        <item x="6"/>
        <item x="7"/>
        <item x="1"/>
        <item x="5"/>
        <item x="3"/>
        <item x="8"/>
        <item x="4"/>
        <item t="default"/>
      </items>
    </pivotField>
    <pivotField showAll="0">
      <items count="4">
        <item x="2"/>
        <item x="1"/>
        <item x="0"/>
        <item t="default"/>
      </items>
    </pivotField>
    <pivotField showAll="0"/>
    <pivotField dataField="1" showAll="0"/>
  </pivotFields>
  <rowFields count="1">
    <field x="0"/>
  </rowFields>
  <rowItems count="10">
    <i>
      <x/>
    </i>
    <i>
      <x v="1"/>
    </i>
    <i>
      <x v="2"/>
    </i>
    <i>
      <x v="3"/>
    </i>
    <i>
      <x v="4"/>
    </i>
    <i>
      <x v="5"/>
    </i>
    <i>
      <x v="6"/>
    </i>
    <i>
      <x v="7"/>
    </i>
    <i>
      <x v="8"/>
    </i>
    <i t="grand">
      <x/>
    </i>
  </rowItems>
  <colItems count="1">
    <i/>
  </colItems>
  <dataFields count="1">
    <dataField name="Sum of Present_flag"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depatment" xr10:uid="{CBEA8C36-EAD8-42DB-8501-384C1D5CC3FD}" sourceName="Clean_depatment">
  <pivotTables>
    <pivotTable tabId="4" name="PivotTable3"/>
  </pivotTables>
  <data>
    <tabular pivotCacheId="78910746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ean_depatment" xr10:uid="{8B3F8CE3-31A1-4BB6-8178-F6A6438A1189}" cache="Slicer_Clean_depatment" caption="Clean_depatme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6C93D-C648-46FD-95E9-C29473218FBC}">
  <dimension ref="A3:B13"/>
  <sheetViews>
    <sheetView workbookViewId="0">
      <selection activeCell="B19" sqref="B19"/>
    </sheetView>
  </sheetViews>
  <sheetFormatPr defaultRowHeight="14.5" x14ac:dyDescent="0.35"/>
  <cols>
    <col min="1" max="1" width="12.36328125" bestFit="1" customWidth="1"/>
    <col min="2" max="2" width="17.7265625" bestFit="1" customWidth="1"/>
    <col min="3" max="3" width="12.7265625" bestFit="1" customWidth="1"/>
    <col min="4" max="4" width="11.36328125" bestFit="1" customWidth="1"/>
    <col min="5" max="5" width="10.7265625" bestFit="1" customWidth="1"/>
  </cols>
  <sheetData>
    <row r="3" spans="1:2" x14ac:dyDescent="0.35">
      <c r="A3" s="6" t="s">
        <v>32</v>
      </c>
      <c r="B3" t="s">
        <v>42</v>
      </c>
    </row>
    <row r="4" spans="1:2" x14ac:dyDescent="0.35">
      <c r="A4" s="7" t="s">
        <v>33</v>
      </c>
      <c r="B4">
        <v>0</v>
      </c>
    </row>
    <row r="5" spans="1:2" x14ac:dyDescent="0.35">
      <c r="A5" s="7" t="s">
        <v>4</v>
      </c>
      <c r="B5">
        <v>1</v>
      </c>
    </row>
    <row r="6" spans="1:2" x14ac:dyDescent="0.35">
      <c r="A6" s="7" t="s">
        <v>34</v>
      </c>
      <c r="B6">
        <v>1</v>
      </c>
    </row>
    <row r="7" spans="1:2" x14ac:dyDescent="0.35">
      <c r="A7" s="7" t="s">
        <v>35</v>
      </c>
      <c r="B7">
        <v>1</v>
      </c>
    </row>
    <row r="8" spans="1:2" x14ac:dyDescent="0.35">
      <c r="A8" s="7" t="s">
        <v>36</v>
      </c>
      <c r="B8">
        <v>1</v>
      </c>
    </row>
    <row r="9" spans="1:2" x14ac:dyDescent="0.35">
      <c r="A9" s="7" t="s">
        <v>37</v>
      </c>
      <c r="B9">
        <v>0</v>
      </c>
    </row>
    <row r="10" spans="1:2" x14ac:dyDescent="0.35">
      <c r="A10" s="7" t="s">
        <v>38</v>
      </c>
      <c r="B10">
        <v>1</v>
      </c>
    </row>
    <row r="11" spans="1:2" x14ac:dyDescent="0.35">
      <c r="A11" s="7" t="s">
        <v>39</v>
      </c>
      <c r="B11">
        <v>0</v>
      </c>
    </row>
    <row r="12" spans="1:2" x14ac:dyDescent="0.35">
      <c r="A12" s="7" t="s">
        <v>40</v>
      </c>
      <c r="B12">
        <v>0</v>
      </c>
    </row>
    <row r="13" spans="1:2" x14ac:dyDescent="0.35">
      <c r="A13" s="7" t="s">
        <v>41</v>
      </c>
      <c r="B13">
        <v>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81F0A-2EE4-4335-943F-EA77C497C49B}">
  <dimension ref="A1:L10"/>
  <sheetViews>
    <sheetView tabSelected="1" workbookViewId="0">
      <selection activeCell="B12" sqref="B12"/>
    </sheetView>
  </sheetViews>
  <sheetFormatPr defaultRowHeight="14.5" x14ac:dyDescent="0.35"/>
  <cols>
    <col min="1" max="1" width="10.6328125" customWidth="1"/>
    <col min="6" max="6" width="11.1796875" customWidth="1"/>
    <col min="7" max="8" width="11.36328125" customWidth="1"/>
    <col min="11" max="11" width="25.6328125" customWidth="1"/>
  </cols>
  <sheetData>
    <row r="1" spans="1:12" ht="29" x14ac:dyDescent="0.35">
      <c r="A1" s="1" t="s">
        <v>0</v>
      </c>
      <c r="B1" s="1" t="s">
        <v>1</v>
      </c>
      <c r="C1" s="1" t="s">
        <v>2</v>
      </c>
      <c r="D1" s="1" t="s">
        <v>3</v>
      </c>
      <c r="F1" s="1" t="s">
        <v>24</v>
      </c>
      <c r="G1" s="1" t="s">
        <v>25</v>
      </c>
      <c r="H1" s="1" t="s">
        <v>26</v>
      </c>
      <c r="I1" s="1" t="s">
        <v>28</v>
      </c>
    </row>
    <row r="2" spans="1:12" ht="29" x14ac:dyDescent="0.35">
      <c r="A2" s="3">
        <v>45689</v>
      </c>
      <c r="B2" s="4" t="s">
        <v>15</v>
      </c>
      <c r="C2" s="4" t="s">
        <v>5</v>
      </c>
      <c r="D2" s="4" t="s">
        <v>6</v>
      </c>
      <c r="F2" t="str">
        <f>TRIM(PROPER(B2))</f>
        <v>Adhi</v>
      </c>
      <c r="G2" t="str">
        <f>TRIM(PROPER(C2))</f>
        <v>Data Science</v>
      </c>
      <c r="H2" t="str">
        <f>TRIM(PROPER(D2))</f>
        <v>Present</v>
      </c>
      <c r="I2">
        <f>IF(H2="Present",1,0)</f>
        <v>1</v>
      </c>
      <c r="K2" t="s">
        <v>29</v>
      </c>
      <c r="L2">
        <f>SUM(I:I)</f>
        <v>5</v>
      </c>
    </row>
    <row r="3" spans="1:12" ht="29" x14ac:dyDescent="0.35">
      <c r="A3" s="3">
        <v>45689</v>
      </c>
      <c r="B3" s="4" t="s">
        <v>7</v>
      </c>
      <c r="C3" s="4" t="s">
        <v>27</v>
      </c>
      <c r="D3" s="4" t="s">
        <v>22</v>
      </c>
      <c r="F3" t="str">
        <f t="shared" ref="F3:F10" si="0">TRIM(PROPER(B3))</f>
        <v>Hari</v>
      </c>
      <c r="G3" t="str">
        <f t="shared" ref="G3:G10" si="1">TRIM(PROPER(C3))</f>
        <v>Data Science</v>
      </c>
      <c r="H3" t="str">
        <f t="shared" ref="H3:H9" si="2">TRIM(PROPER(D3))</f>
        <v>Present</v>
      </c>
      <c r="I3">
        <f t="shared" ref="I3:I10" si="3">IF(H3="Present",1,0)</f>
        <v>1</v>
      </c>
      <c r="K3" t="s">
        <v>30</v>
      </c>
      <c r="L3">
        <f>COUNTA(B:B)-1</f>
        <v>9</v>
      </c>
    </row>
    <row r="4" spans="1:12" ht="29" x14ac:dyDescent="0.35">
      <c r="A4" s="3">
        <v>45689</v>
      </c>
      <c r="B4" s="4" t="s">
        <v>16</v>
      </c>
      <c r="C4" s="4" t="s">
        <v>5</v>
      </c>
      <c r="D4" s="4" t="s">
        <v>23</v>
      </c>
      <c r="F4" t="str">
        <f t="shared" si="0"/>
        <v>Abhi</v>
      </c>
      <c r="G4" t="str">
        <f t="shared" si="1"/>
        <v>Data Science</v>
      </c>
      <c r="H4" t="str">
        <f t="shared" si="2"/>
        <v>Absent</v>
      </c>
      <c r="I4">
        <f t="shared" si="3"/>
        <v>0</v>
      </c>
      <c r="K4" t="s">
        <v>31</v>
      </c>
      <c r="L4" s="5">
        <f>SUM(I:I)/(COUNTA(B:B)-1)</f>
        <v>0.55555555555555558</v>
      </c>
    </row>
    <row r="5" spans="1:12" ht="29" x14ac:dyDescent="0.35">
      <c r="A5" s="3">
        <v>45689</v>
      </c>
      <c r="B5" s="4" t="s">
        <v>9</v>
      </c>
      <c r="C5" s="4" t="s">
        <v>10</v>
      </c>
      <c r="D5" s="4" t="s">
        <v>20</v>
      </c>
      <c r="F5" t="str">
        <f t="shared" si="0"/>
        <v>Karthika</v>
      </c>
      <c r="G5" t="str">
        <f t="shared" si="1"/>
        <v>Cyber Security</v>
      </c>
      <c r="H5" t="str">
        <f t="shared" si="2"/>
        <v>Present</v>
      </c>
      <c r="I5">
        <f t="shared" si="3"/>
        <v>1</v>
      </c>
    </row>
    <row r="6" spans="1:12" ht="29" x14ac:dyDescent="0.35">
      <c r="A6" s="2">
        <v>45689</v>
      </c>
      <c r="B6" s="4" t="s">
        <v>17</v>
      </c>
      <c r="C6" s="4" t="s">
        <v>19</v>
      </c>
      <c r="D6" s="4" t="s">
        <v>8</v>
      </c>
      <c r="F6" t="str">
        <f t="shared" si="0"/>
        <v>Parthiv</v>
      </c>
      <c r="G6" t="str">
        <f t="shared" si="1"/>
        <v>Cyber Security</v>
      </c>
      <c r="H6" t="str">
        <f t="shared" si="2"/>
        <v>Absent</v>
      </c>
      <c r="I6">
        <f t="shared" si="3"/>
        <v>0</v>
      </c>
    </row>
    <row r="7" spans="1:12" ht="29" x14ac:dyDescent="0.35">
      <c r="A7" s="2">
        <v>45689</v>
      </c>
      <c r="B7" s="4" t="s">
        <v>18</v>
      </c>
      <c r="C7" s="4" t="s">
        <v>10</v>
      </c>
      <c r="D7" s="4" t="s">
        <v>21</v>
      </c>
      <c r="F7" t="str">
        <f t="shared" si="0"/>
        <v>Imna</v>
      </c>
      <c r="G7" t="str">
        <f t="shared" si="1"/>
        <v>Cyber Security</v>
      </c>
      <c r="H7" t="str">
        <f t="shared" si="2"/>
        <v>Absent</v>
      </c>
      <c r="I7">
        <f t="shared" si="3"/>
        <v>0</v>
      </c>
    </row>
    <row r="8" spans="1:12" x14ac:dyDescent="0.35">
      <c r="A8" s="2">
        <v>45689</v>
      </c>
      <c r="B8" s="4" t="s">
        <v>11</v>
      </c>
      <c r="C8" s="4" t="s">
        <v>12</v>
      </c>
      <c r="D8" s="4" t="s">
        <v>6</v>
      </c>
      <c r="F8" t="str">
        <f t="shared" si="0"/>
        <v>Bharat</v>
      </c>
      <c r="G8" t="str">
        <f t="shared" si="1"/>
        <v>Cse</v>
      </c>
      <c r="H8" t="str">
        <f t="shared" si="2"/>
        <v>Present</v>
      </c>
      <c r="I8">
        <f t="shared" si="3"/>
        <v>1</v>
      </c>
    </row>
    <row r="9" spans="1:12" x14ac:dyDescent="0.35">
      <c r="A9" s="2">
        <v>45689</v>
      </c>
      <c r="B9" s="4" t="s">
        <v>13</v>
      </c>
      <c r="C9" s="4" t="s">
        <v>12</v>
      </c>
      <c r="D9" s="4" t="s">
        <v>6</v>
      </c>
      <c r="F9" t="str">
        <f t="shared" si="0"/>
        <v>Dilna</v>
      </c>
      <c r="G9" t="str">
        <f t="shared" si="1"/>
        <v>Cse</v>
      </c>
      <c r="H9" t="str">
        <f t="shared" si="2"/>
        <v>Present</v>
      </c>
      <c r="I9">
        <f t="shared" si="3"/>
        <v>1</v>
      </c>
    </row>
    <row r="10" spans="1:12" x14ac:dyDescent="0.35">
      <c r="A10" s="2">
        <v>45689</v>
      </c>
      <c r="B10" s="4" t="s">
        <v>14</v>
      </c>
      <c r="C10" s="4" t="s">
        <v>12</v>
      </c>
      <c r="D10" s="4" t="s">
        <v>8</v>
      </c>
      <c r="F10" t="str">
        <f t="shared" si="0"/>
        <v>Krishna</v>
      </c>
      <c r="G10" t="str">
        <f t="shared" si="1"/>
        <v>Cse</v>
      </c>
      <c r="H10" t="str">
        <f>TRIM(PROPER(D10))</f>
        <v>Absent</v>
      </c>
      <c r="I10">
        <f t="shared" si="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Adithya Sudhakaran</dc:creator>
  <cp:lastModifiedBy>Adithya Sudhakaran</cp:lastModifiedBy>
  <dcterms:created xsi:type="dcterms:W3CDTF">2026-01-11T09:58:29Z</dcterms:created>
  <dcterms:modified xsi:type="dcterms:W3CDTF">2026-01-11T12:13:05Z</dcterms:modified>
</cp:coreProperties>
</file>